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jbrandt/code/ollama/name_density/"/>
    </mc:Choice>
  </mc:AlternateContent>
  <xr:revisionPtr revIDLastSave="0" documentId="13_ncr:1_{27C6740D-259B-8D44-A5B7-A3AEED07BA36}" xr6:coauthVersionLast="47" xr6:coauthVersionMax="47" xr10:uidLastSave="{00000000-0000-0000-0000-000000000000}"/>
  <bookViews>
    <workbookView xWindow="42020" yWindow="600" windowWidth="34400" windowHeight="29220" tabRatio="500" activeTab="1" xr2:uid="{00000000-000D-0000-FFFF-FFFF00000000}"/>
  </bookViews>
  <sheets>
    <sheet name="Instructions" sheetId="1" r:id="rId1"/>
    <sheet name="Calibration" sheetId="2" r:id="rId2"/>
    <sheet name="Summ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3" i="3" l="1"/>
  <c r="B13" i="3"/>
  <c r="D12" i="3"/>
  <c r="C12" i="3"/>
  <c r="B12" i="3"/>
  <c r="D11" i="3"/>
  <c r="B11" i="3"/>
  <c r="D10" i="3"/>
  <c r="B10" i="3"/>
  <c r="D9" i="3"/>
  <c r="C9" i="3"/>
  <c r="B9" i="3"/>
  <c r="D8" i="3"/>
  <c r="B8" i="3"/>
  <c r="D7" i="3"/>
  <c r="B7" i="3"/>
  <c r="D6" i="3"/>
  <c r="B6" i="3"/>
  <c r="D5" i="3"/>
  <c r="B5" i="3"/>
  <c r="O27" i="2"/>
  <c r="O26" i="2"/>
  <c r="O25" i="2"/>
  <c r="O24" i="2"/>
  <c r="O23" i="2"/>
  <c r="O22" i="2"/>
  <c r="O21" i="2"/>
  <c r="O20" i="2"/>
  <c r="O19" i="2"/>
  <c r="O18" i="2"/>
  <c r="O17" i="2"/>
  <c r="O16" i="2"/>
  <c r="O15" i="2"/>
  <c r="O14" i="2"/>
  <c r="O13" i="2"/>
  <c r="C8" i="3" s="1"/>
  <c r="O12" i="2"/>
  <c r="C10" i="3" s="1"/>
  <c r="O11" i="2"/>
  <c r="C11" i="3" s="1"/>
  <c r="O10" i="2"/>
  <c r="O9" i="2"/>
  <c r="O8" i="2"/>
  <c r="O7" i="2"/>
  <c r="C7" i="3" s="1"/>
  <c r="O6" i="2"/>
  <c r="O5" i="2"/>
  <c r="O4" i="2"/>
  <c r="C6" i="3" s="1"/>
  <c r="O3" i="2"/>
  <c r="C5" i="3" l="1"/>
  <c r="E5" i="3" s="1"/>
  <c r="C13" i="3"/>
  <c r="E13" i="3" s="1"/>
  <c r="E12" i="3"/>
  <c r="E9" i="3"/>
  <c r="E7" i="3"/>
  <c r="E11" i="3"/>
  <c r="E6" i="3"/>
  <c r="E10" i="3"/>
  <c r="E8" i="3"/>
</calcChain>
</file>

<file path=xl/sharedStrings.xml><?xml version="1.0" encoding="utf-8"?>
<sst xmlns="http://schemas.openxmlformats.org/spreadsheetml/2006/main" count="253" uniqueCount="149">
  <si>
    <t>How to fill in this calibration sheet</t>
  </si>
  <si>
    <t>Purpose: the vision model's page counts are ~3x too high on the one page we hand-checked. These 25 hand counts tell us whether that bias is CONSTANT (harmless for ranking) or varies by page type (which would distort the ranking). Only the yellow columns need filling in.</t>
  </si>
  <si>
    <t>Open each image from the path in column A, relative to the ollama folder.</t>
  </si>
  <si>
    <t>WHAT TO ENTER</t>
  </si>
  <si>
    <t>page_type</t>
  </si>
  <si>
    <t>Pick from the dropdown. Judge the layout, not the content.</t>
  </si>
  <si>
    <t>is_spread</t>
  </si>
  <si>
    <t>1 if the scan shows a single book page, 2 if it shows a two-page spread. This matters: page_count may count leaves rather than scans.</t>
  </si>
  <si>
    <t>filled_entries</t>
  </si>
  <si>
    <t>How many record rows are actually FILLED IN with handwriting. A pre-printed but empty form is 0, however many ruled lines it has. Count across the whole image, both halves of a spread.</t>
  </si>
  <si>
    <t>names_per_entry</t>
  </si>
  <si>
    <t>How many DIFFERENT PEOPLE each filled row names. You can read this off the PRINTED column headers -- see the cheat sheet below -- so you do not need to read the handwriting. A birth register naming child + father + mother is 3. A plain name list is 1.</t>
  </si>
  <si>
    <t>other_names</t>
  </si>
  <si>
    <t>Any people named OUTSIDE the rows (in narrative text, margins, signatures). Rough estimate is fine. Use 0 if none, and leave blank if you truly cannot tell.</t>
  </si>
  <si>
    <t>hard_to_tell</t>
  </si>
  <si>
    <t>Put an x if you are guessing. Not a failure -- it tells us which page types the model and a human BOTH find ambiguous, which is worth knowing.</t>
  </si>
  <si>
    <t>notes</t>
  </si>
  <si>
    <t>Anything odd: damaged page, names on the facing page only, mixed content, etc.</t>
  </si>
  <si>
    <t>total_people is computed for you (filled_entries x names_per_entry + other_names) -- do not type in it.</t>
  </si>
  <si>
    <t>CHEAT SHEET -- printed column headers on common forms</t>
  </si>
  <si>
    <t>These are PRINTED (not handwritten), so they are much easier to read. They tell you how many people a row names.</t>
  </si>
  <si>
    <t>Кто родился / Кто родился и какое ему дано имя</t>
  </si>
  <si>
    <t>'Who was born / and what name was given' -&gt; the child = 1 person</t>
  </si>
  <si>
    <t>Состояние отца, имена отца и матери</t>
  </si>
  <si>
    <t>'Father's status, names of father and mother' -&gt; +2 people (father, mother)</t>
  </si>
  <si>
    <t>О родившихся</t>
  </si>
  <si>
    <t>'On births' -&gt; a birth register. Typically 3 people per row.</t>
  </si>
  <si>
    <t>О бракосочетавшихся</t>
  </si>
  <si>
    <t>'On marriages' -&gt; often 4+ per row (groom, bride, and their fathers)</t>
  </si>
  <si>
    <t>О умерших</t>
  </si>
  <si>
    <t>'On deaths' -&gt; often 1-2 per row (deceased, sometimes a relative)</t>
  </si>
  <si>
    <t>Кто совершал обряд обрезания</t>
  </si>
  <si>
    <t>'Who performed the circumcision' -&gt; +1 person if that column is filled</t>
  </si>
  <si>
    <t>Ревизская сказка / посемейный список</t>
  </si>
  <si>
    <t>revision list / household list -&gt; often a whole family per row; count the names you see</t>
  </si>
  <si>
    <t>количество земли / повинности</t>
  </si>
  <si>
    <t>'quantity of land / obligations' -&gt; numeric columns only, usually 0 people. Names are often on the FACING page -- note that in notes.</t>
  </si>
  <si>
    <t>If a page is a numeric continuation with no names, enter filled_entries as the number of filled numeric rows and names_per_entry as 0. That combination is real and we want it.</t>
  </si>
  <si>
    <t>CONTEXT (already filled in -- do not edit)</t>
  </si>
  <si>
    <t>YOUR COUNTS (fill in the yellow cells)</t>
  </si>
  <si>
    <t>image_file</t>
  </si>
  <si>
    <t>label</t>
  </si>
  <si>
    <t>archive</t>
  </si>
  <si>
    <t>doc_type</t>
  </si>
  <si>
    <t>priority</t>
  </si>
  <si>
    <t>doc_page_count</t>
  </si>
  <si>
    <t>model_page_type</t>
  </si>
  <si>
    <t>model_filled_entries</t>
  </si>
  <si>
    <t>model_named</t>
  </si>
  <si>
    <t>total_people</t>
  </si>
  <si>
    <t>data/pages/7106/00006.jpg</t>
  </si>
  <si>
    <t>CDIAK/1150/1/51</t>
  </si>
  <si>
    <t>CDIAK</t>
  </si>
  <si>
    <t>V</t>
  </si>
  <si>
    <t>P1</t>
  </si>
  <si>
    <t>register_table</t>
  </si>
  <si>
    <t>data/pages/33/00022.jpg</t>
  </si>
  <si>
    <t>TSDAVO/582/1/1374</t>
  </si>
  <si>
    <t>TSDAVO</t>
  </si>
  <si>
    <t>O</t>
  </si>
  <si>
    <t>NO</t>
  </si>
  <si>
    <t>data/pages/24007/00098.jpg</t>
  </si>
  <si>
    <t>DAKO/384/10/206</t>
  </si>
  <si>
    <t>DAKO</t>
  </si>
  <si>
    <t>C</t>
  </si>
  <si>
    <t>data/pages/36/00299.jpg</t>
  </si>
  <si>
    <t>TSDAVO/582/1/444</t>
  </si>
  <si>
    <t>L</t>
  </si>
  <si>
    <t>data/pages/28885/00022.jpg</t>
  </si>
  <si>
    <t>DAKO/R-4205/1/76</t>
  </si>
  <si>
    <t>P</t>
  </si>
  <si>
    <t>data/pages/25358/00045.jpg</t>
  </si>
  <si>
    <t>DAKO/384/8/163</t>
  </si>
  <si>
    <t>O,L</t>
  </si>
  <si>
    <t>P2</t>
  </si>
  <si>
    <t>data/pages/7156/00091.jpg</t>
  </si>
  <si>
    <t>CDIAK/1162/1/28</t>
  </si>
  <si>
    <t>data/pages/7150/00143.jpg</t>
  </si>
  <si>
    <t>CDIAK/491/96/95</t>
  </si>
  <si>
    <t>data/pages/7128/00596.jpg</t>
  </si>
  <si>
    <t>CDIAK/57/1/37</t>
  </si>
  <si>
    <t>data/pages/7305/00003.jpg</t>
  </si>
  <si>
    <t>CDIAK/515/1/134</t>
  </si>
  <si>
    <t>cover_or_title</t>
  </si>
  <si>
    <t>data/pages/67287/00011.jpg</t>
  </si>
  <si>
    <t>DAKO/1/67/89</t>
  </si>
  <si>
    <t>data/pages/20301/00021.jpg</t>
  </si>
  <si>
    <t>DAKIRO/R-7915/1/498</t>
  </si>
  <si>
    <t>DAKIRO</t>
  </si>
  <si>
    <t>data/pages/64406/00004.jpg</t>
  </si>
  <si>
    <t>DAKIRO/225/1/44</t>
  </si>
  <si>
    <t>data/pages/35801/00007.jpg</t>
  </si>
  <si>
    <t>DAMO/R-2847/1/507</t>
  </si>
  <si>
    <t>DAMO</t>
  </si>
  <si>
    <t>data/pages/7105/00088.jpg</t>
  </si>
  <si>
    <t>CDIAK/127/699/73</t>
  </si>
  <si>
    <t>prose</t>
  </si>
  <si>
    <t>data/pages/143428/00021.jpg</t>
  </si>
  <si>
    <t>DACHGO/151/1/965</t>
  </si>
  <si>
    <t>DACHGO</t>
  </si>
  <si>
    <t>data/pages/76799/00019.jpg</t>
  </si>
  <si>
    <t>TSDAVO/4/1/32</t>
  </si>
  <si>
    <t>data/pages/7101/00596.jpg</t>
  </si>
  <si>
    <t>CDIAK/57/1/47</t>
  </si>
  <si>
    <t>data/pages/8903/00152.jpg</t>
  </si>
  <si>
    <t>DAHMO/R-6453/1/74</t>
  </si>
  <si>
    <t>DAHMO</t>
  </si>
  <si>
    <t>data/pages/7164/00043.jpg</t>
  </si>
  <si>
    <t>CDIAK/274/1/1237</t>
  </si>
  <si>
    <t>data/pages/24408/00073.jpg</t>
  </si>
  <si>
    <t>DAKO/384/14/50</t>
  </si>
  <si>
    <t>data/pages/35071/00075.jpg</t>
  </si>
  <si>
    <t>DAMO/484/1/1706</t>
  </si>
  <si>
    <t>data/pages/26/00153.jpg</t>
  </si>
  <si>
    <t>TSDAVO/582/1/4716</t>
  </si>
  <si>
    <t>data/pages/7302/00194.jpg</t>
  </si>
  <si>
    <t>CDIAK/57/1/171</t>
  </si>
  <si>
    <t>data/pages/20314/00156.jpg</t>
  </si>
  <si>
    <t>DAKIRO/R-7915/2/20</t>
  </si>
  <si>
    <t>EXAMPLE (hand-checked earlier -- shows the expected format; do not edit)</t>
  </si>
  <si>
    <t>4 birth rows across a 2-page spread; each names child+father+mother</t>
  </si>
  <si>
    <t>Calibration summary</t>
  </si>
  <si>
    <t>Fills in automatically as you complete the Calibration sheet. The ratio columns are the answer we are after: if they are similar across page types, the model's bias is constant and ranking is unaffected.</t>
  </si>
  <si>
    <t>n pages</t>
  </si>
  <si>
    <t>hand total_people</t>
  </si>
  <si>
    <t>model named</t>
  </si>
  <si>
    <t>model/hand ratio</t>
  </si>
  <si>
    <t>name_list</t>
  </si>
  <si>
    <t>form</t>
  </si>
  <si>
    <t>index</t>
  </si>
  <si>
    <t>blank_or_illegible</t>
  </si>
  <si>
    <t>other</t>
  </si>
  <si>
    <t>ALL PAGES</t>
  </si>
  <si>
    <t>Note: model columns are only populated for the 5 pages already scored; the remaining 20 will compare after the model is run over the full train split.</t>
  </si>
  <si>
    <t>scan shows two pages, but not a spread</t>
  </si>
  <si>
    <t>x</t>
  </si>
  <si>
    <t>high value, includes photo, passport application?</t>
  </si>
  <si>
    <t>2 pages are scanned. Only right is filled.</t>
  </si>
  <si>
    <t>looks like a land record?</t>
  </si>
  <si>
    <t>scan of two pages, but not a table</t>
  </si>
  <si>
    <t>letter</t>
  </si>
  <si>
    <t>letter or note</t>
  </si>
  <si>
    <t>a lot of text per entry - not seemingly a vital record</t>
  </si>
  <si>
    <t>two page scan, one page blank with note</t>
  </si>
  <si>
    <t>ten rows all empty</t>
  </si>
  <si>
    <t>right side page is covered with a blank paper</t>
  </si>
  <si>
    <t>bookkeeping - no names</t>
  </si>
  <si>
    <t>looks like a notary register</t>
  </si>
  <si>
    <t>form - multiple entries but one record per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</si>
</sst>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x"/>
  </numFmts>
  <fonts count="12" x14ac:knownFonts="1">
    <font>
      <sz val="11"/>
      <color theme="1"/>
      <name val="Calibri"/>
      <family val="2"/>
      <charset val="1"/>
    </font>
    <font>
      <b/>
      <sz val="14"/>
      <color rgb="FF1F3864"/>
      <name val="Arial"/>
      <family val="2"/>
    </font>
    <font>
      <sz val="10"/>
      <name val="Arial"/>
      <family val="2"/>
    </font>
    <font>
      <b/>
      <sz val="11"/>
      <color rgb="FF1F3864"/>
      <name val="Arial"/>
      <family val="2"/>
    </font>
    <font>
      <b/>
      <sz val="10"/>
      <name val="Arial"/>
      <family val="2"/>
    </font>
    <font>
      <b/>
      <sz val="10"/>
      <color rgb="FF1F3864"/>
      <name val="Arial"/>
      <family val="2"/>
    </font>
    <font>
      <b/>
      <sz val="10"/>
      <color rgb="FF7F6000"/>
      <name val="Arial"/>
      <family val="2"/>
    </font>
    <font>
      <b/>
      <sz val="10"/>
      <color rgb="FFFFFFFF"/>
      <name val="Arial"/>
      <family val="2"/>
    </font>
    <font>
      <sz val="9"/>
      <name val="Arial"/>
      <family val="2"/>
    </font>
    <font>
      <b/>
      <sz val="9"/>
      <name val="Arial"/>
      <family val="2"/>
    </font>
    <font>
      <b/>
      <i/>
      <sz val="9"/>
      <color rgb="FFC00000"/>
      <name val="Arial"/>
      <family val="2"/>
    </font>
    <font>
      <i/>
      <sz val="9"/>
      <name val="Arial"/>
      <family val="2"/>
    </font>
  </fonts>
  <fills count="7">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FFFF00"/>
        <bgColor rgb="FFFFFF00"/>
      </patternFill>
    </fill>
    <fill>
      <patternFill patternType="solid">
        <fgColor rgb="FFE2EFDA"/>
        <bgColor rgb="FFF2F2F2"/>
      </patternFill>
    </fill>
    <fill>
      <patternFill patternType="solid">
        <fgColor rgb="FFFCE4D6"/>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1" fillId="0" borderId="0" xfId="0" applyFont="1"/>
    <xf numFmtId="0" fontId="2" fillId="0" borderId="0" xfId="0" applyFont="1"/>
    <xf numFmtId="0" fontId="10" fillId="0" borderId="0" xfId="0" applyFont="1"/>
    <xf numFmtId="0" fontId="2" fillId="0" borderId="0" xfId="0" applyFont="1" applyAlignment="1">
      <alignment vertical="top" wrapText="1"/>
    </xf>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2" borderId="1" xfId="0" applyFont="1" applyFill="1" applyBorder="1" applyAlignment="1">
      <alignment horizontal="center" vertical="center" wrapText="1"/>
    </xf>
    <xf numFmtId="0" fontId="8" fillId="3" borderId="1" xfId="0" applyFont="1" applyFill="1" applyBorder="1" applyAlignment="1">
      <alignment vertical="center"/>
    </xf>
    <xf numFmtId="0" fontId="8" fillId="4" borderId="1" xfId="0" applyFont="1" applyFill="1" applyBorder="1"/>
    <xf numFmtId="0" fontId="9" fillId="5" borderId="1" xfId="0" applyFont="1" applyFill="1" applyBorder="1"/>
    <xf numFmtId="0" fontId="11" fillId="6" borderId="1" xfId="0" applyFont="1" applyFill="1" applyBorder="1"/>
    <xf numFmtId="0" fontId="2" fillId="0" borderId="0" xfId="0" applyFont="1"/>
    <xf numFmtId="0" fontId="7" fillId="2" borderId="1" xfId="0" applyFont="1" applyFill="1" applyBorder="1"/>
    <xf numFmtId="164" fontId="4"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showGridLines="0" zoomScaleNormal="100" workbookViewId="0">
      <selection activeCell="B13" sqref="B13:F13"/>
    </sheetView>
  </sheetViews>
  <sheetFormatPr baseColWidth="10" defaultColWidth="8.6640625" defaultRowHeight="15" x14ac:dyDescent="0.2"/>
  <cols>
    <col min="1" max="1" width="42" customWidth="1"/>
    <col min="2" max="6" width="16" customWidth="1"/>
  </cols>
  <sheetData>
    <row r="1" spans="1:6" ht="18" x14ac:dyDescent="0.2">
      <c r="A1" s="5" t="s">
        <v>0</v>
      </c>
    </row>
    <row r="3" spans="1:6" ht="30" customHeight="1" x14ac:dyDescent="0.2">
      <c r="A3" s="4" t="s">
        <v>1</v>
      </c>
      <c r="B3" s="4"/>
      <c r="C3" s="4"/>
      <c r="D3" s="4"/>
      <c r="E3" s="4"/>
      <c r="F3" s="4"/>
    </row>
    <row r="5" spans="1:6" ht="30" customHeight="1" x14ac:dyDescent="0.2">
      <c r="A5" s="4" t="s">
        <v>2</v>
      </c>
      <c r="B5" s="4"/>
      <c r="C5" s="4"/>
      <c r="D5" s="4"/>
      <c r="E5" s="4"/>
      <c r="F5" s="4"/>
    </row>
    <row r="7" spans="1:6" x14ac:dyDescent="0.2">
      <c r="A7" s="6" t="s">
        <v>3</v>
      </c>
    </row>
    <row r="8" spans="1:6" ht="27.75" customHeight="1" x14ac:dyDescent="0.2">
      <c r="A8" s="7" t="s">
        <v>4</v>
      </c>
      <c r="B8" s="4" t="s">
        <v>5</v>
      </c>
      <c r="C8" s="4"/>
      <c r="D8" s="4"/>
      <c r="E8" s="4"/>
      <c r="F8" s="4"/>
    </row>
    <row r="9" spans="1:6" ht="27.75" customHeight="1" x14ac:dyDescent="0.2">
      <c r="A9" s="7" t="s">
        <v>6</v>
      </c>
      <c r="B9" s="4" t="s">
        <v>7</v>
      </c>
      <c r="C9" s="4"/>
      <c r="D9" s="4"/>
      <c r="E9" s="4"/>
      <c r="F9" s="4"/>
    </row>
    <row r="10" spans="1:6" ht="27.75" customHeight="1" x14ac:dyDescent="0.2">
      <c r="A10" s="7" t="s">
        <v>8</v>
      </c>
      <c r="B10" s="4" t="s">
        <v>9</v>
      </c>
      <c r="C10" s="4"/>
      <c r="D10" s="4"/>
      <c r="E10" s="4"/>
      <c r="F10" s="4"/>
    </row>
    <row r="11" spans="1:6" ht="27.75" customHeight="1" x14ac:dyDescent="0.2">
      <c r="A11" s="7" t="s">
        <v>10</v>
      </c>
      <c r="B11" s="4" t="s">
        <v>11</v>
      </c>
      <c r="C11" s="4"/>
      <c r="D11" s="4"/>
      <c r="E11" s="4"/>
      <c r="F11" s="4"/>
    </row>
    <row r="12" spans="1:6" ht="27.75" customHeight="1" x14ac:dyDescent="0.2">
      <c r="A12" s="7" t="s">
        <v>12</v>
      </c>
      <c r="B12" s="4" t="s">
        <v>13</v>
      </c>
      <c r="C12" s="4"/>
      <c r="D12" s="4"/>
      <c r="E12" s="4"/>
      <c r="F12" s="4"/>
    </row>
    <row r="13" spans="1:6" ht="27.75" customHeight="1" x14ac:dyDescent="0.2">
      <c r="A13" s="7" t="s">
        <v>14</v>
      </c>
      <c r="B13" s="4" t="s">
        <v>15</v>
      </c>
      <c r="C13" s="4"/>
      <c r="D13" s="4"/>
      <c r="E13" s="4"/>
      <c r="F13" s="4"/>
    </row>
    <row r="14" spans="1:6" ht="27.75" customHeight="1" x14ac:dyDescent="0.2">
      <c r="A14" s="7" t="s">
        <v>16</v>
      </c>
      <c r="B14" s="4" t="s">
        <v>17</v>
      </c>
      <c r="C14" s="4"/>
      <c r="D14" s="4"/>
      <c r="E14" s="4"/>
      <c r="F14" s="4"/>
    </row>
    <row r="16" spans="1:6" ht="30" customHeight="1" x14ac:dyDescent="0.2">
      <c r="A16" s="4" t="s">
        <v>18</v>
      </c>
      <c r="B16" s="4"/>
      <c r="C16" s="4"/>
      <c r="D16" s="4"/>
      <c r="E16" s="4"/>
      <c r="F16" s="4"/>
    </row>
    <row r="18" spans="1:6" x14ac:dyDescent="0.2">
      <c r="A18" s="6" t="s">
        <v>19</v>
      </c>
    </row>
    <row r="19" spans="1:6" ht="30" customHeight="1" x14ac:dyDescent="0.2">
      <c r="A19" s="4" t="s">
        <v>20</v>
      </c>
      <c r="B19" s="4"/>
      <c r="C19" s="4"/>
      <c r="D19" s="4"/>
      <c r="E19" s="4"/>
      <c r="F19" s="4"/>
    </row>
    <row r="20" spans="1:6" ht="27.75" customHeight="1" x14ac:dyDescent="0.2">
      <c r="A20" s="7" t="s">
        <v>21</v>
      </c>
      <c r="B20" s="4" t="s">
        <v>22</v>
      </c>
      <c r="C20" s="4"/>
      <c r="D20" s="4"/>
      <c r="E20" s="4"/>
      <c r="F20" s="4"/>
    </row>
    <row r="21" spans="1:6" ht="27.75" customHeight="1" x14ac:dyDescent="0.2">
      <c r="A21" s="7" t="s">
        <v>23</v>
      </c>
      <c r="B21" s="4" t="s">
        <v>24</v>
      </c>
      <c r="C21" s="4"/>
      <c r="D21" s="4"/>
      <c r="E21" s="4"/>
      <c r="F21" s="4"/>
    </row>
    <row r="22" spans="1:6" ht="27.75" customHeight="1" x14ac:dyDescent="0.2">
      <c r="A22" s="7" t="s">
        <v>25</v>
      </c>
      <c r="B22" s="4" t="s">
        <v>26</v>
      </c>
      <c r="C22" s="4"/>
      <c r="D22" s="4"/>
      <c r="E22" s="4"/>
      <c r="F22" s="4"/>
    </row>
    <row r="23" spans="1:6" ht="27.75" customHeight="1" x14ac:dyDescent="0.2">
      <c r="A23" s="7" t="s">
        <v>27</v>
      </c>
      <c r="B23" s="4" t="s">
        <v>28</v>
      </c>
      <c r="C23" s="4"/>
      <c r="D23" s="4"/>
      <c r="E23" s="4"/>
      <c r="F23" s="4"/>
    </row>
    <row r="24" spans="1:6" ht="27.75" customHeight="1" x14ac:dyDescent="0.2">
      <c r="A24" s="7" t="s">
        <v>29</v>
      </c>
      <c r="B24" s="4" t="s">
        <v>30</v>
      </c>
      <c r="C24" s="4"/>
      <c r="D24" s="4"/>
      <c r="E24" s="4"/>
      <c r="F24" s="4"/>
    </row>
    <row r="25" spans="1:6" ht="27.75" customHeight="1" x14ac:dyDescent="0.2">
      <c r="A25" s="7" t="s">
        <v>31</v>
      </c>
      <c r="B25" s="4" t="s">
        <v>32</v>
      </c>
      <c r="C25" s="4"/>
      <c r="D25" s="4"/>
      <c r="E25" s="4"/>
      <c r="F25" s="4"/>
    </row>
    <row r="26" spans="1:6" ht="27.75" customHeight="1" x14ac:dyDescent="0.2">
      <c r="A26" s="7" t="s">
        <v>33</v>
      </c>
      <c r="B26" s="4" t="s">
        <v>34</v>
      </c>
      <c r="C26" s="4"/>
      <c r="D26" s="4"/>
      <c r="E26" s="4"/>
      <c r="F26" s="4"/>
    </row>
    <row r="27" spans="1:6" ht="27.75" customHeight="1" x14ac:dyDescent="0.2">
      <c r="A27" s="7" t="s">
        <v>35</v>
      </c>
      <c r="B27" s="4" t="s">
        <v>36</v>
      </c>
      <c r="C27" s="4"/>
      <c r="D27" s="4"/>
      <c r="E27" s="4"/>
      <c r="F27" s="4"/>
    </row>
    <row r="29" spans="1:6" ht="30" customHeight="1" x14ac:dyDescent="0.2">
      <c r="A29" s="4" t="s">
        <v>37</v>
      </c>
      <c r="B29" s="4"/>
      <c r="C29" s="4"/>
      <c r="D29" s="4"/>
      <c r="E29" s="4"/>
      <c r="F29" s="4"/>
    </row>
  </sheetData>
  <mergeCells count="20">
    <mergeCell ref="B24:F24"/>
    <mergeCell ref="B25:F25"/>
    <mergeCell ref="B26:F26"/>
    <mergeCell ref="B27:F27"/>
    <mergeCell ref="A29:F29"/>
    <mergeCell ref="A19:F19"/>
    <mergeCell ref="B20:F20"/>
    <mergeCell ref="B21:F21"/>
    <mergeCell ref="B22:F22"/>
    <mergeCell ref="B23:F23"/>
    <mergeCell ref="B11:F11"/>
    <mergeCell ref="B12:F12"/>
    <mergeCell ref="B13:F13"/>
    <mergeCell ref="B14:F14"/>
    <mergeCell ref="A16:F16"/>
    <mergeCell ref="A3:F3"/>
    <mergeCell ref="A5:F5"/>
    <mergeCell ref="B8:F8"/>
    <mergeCell ref="B9:F9"/>
    <mergeCell ref="B10:F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0"/>
  <sheetViews>
    <sheetView tabSelected="1" zoomScale="106" zoomScaleNormal="78" workbookViewId="0">
      <pane xSplit="1" topLeftCell="F1" activePane="topRight" state="frozen"/>
      <selection pane="topRight" activeCell="Q27" sqref="Q27"/>
    </sheetView>
  </sheetViews>
  <sheetFormatPr baseColWidth="10" defaultColWidth="8.6640625" defaultRowHeight="15" x14ac:dyDescent="0.2"/>
  <cols>
    <col min="1" max="1" width="46" customWidth="1"/>
    <col min="2" max="2" width="20" customWidth="1"/>
    <col min="3" max="4" width="9" customWidth="1"/>
    <col min="5" max="5" width="8" customWidth="1"/>
    <col min="6" max="6" width="9" customWidth="1"/>
    <col min="7" max="7" width="15" customWidth="1"/>
    <col min="8" max="8" width="11" customWidth="1"/>
    <col min="9" max="9" width="10" customWidth="1"/>
    <col min="10" max="10" width="16" customWidth="1"/>
    <col min="11" max="11" width="9" customWidth="1"/>
    <col min="12" max="12" width="11" customWidth="1"/>
    <col min="13" max="13" width="12" customWidth="1"/>
    <col min="14" max="15" width="11" customWidth="1"/>
    <col min="16" max="16" width="10" customWidth="1"/>
    <col min="17" max="17" width="34" customWidth="1"/>
    <col min="22" max="22" width="0" hidden="1" customWidth="1"/>
  </cols>
  <sheetData>
    <row r="1" spans="1:17" x14ac:dyDescent="0.2">
      <c r="A1" s="8" t="s">
        <v>38</v>
      </c>
      <c r="J1" s="9" t="s">
        <v>39</v>
      </c>
    </row>
    <row r="2" spans="1:17" ht="30" customHeight="1" x14ac:dyDescent="0.2">
      <c r="A2" s="10" t="s">
        <v>40</v>
      </c>
      <c r="B2" s="10" t="s">
        <v>41</v>
      </c>
      <c r="C2" s="10" t="s">
        <v>42</v>
      </c>
      <c r="D2" s="10" t="s">
        <v>43</v>
      </c>
      <c r="E2" s="10" t="s">
        <v>44</v>
      </c>
      <c r="F2" s="10" t="s">
        <v>45</v>
      </c>
      <c r="G2" s="10" t="s">
        <v>46</v>
      </c>
      <c r="H2" s="10" t="s">
        <v>47</v>
      </c>
      <c r="I2" s="10" t="s">
        <v>48</v>
      </c>
      <c r="J2" s="10" t="s">
        <v>4</v>
      </c>
      <c r="K2" s="10" t="s">
        <v>6</v>
      </c>
      <c r="L2" s="10" t="s">
        <v>8</v>
      </c>
      <c r="M2" s="10" t="s">
        <v>10</v>
      </c>
      <c r="N2" s="10" t="s">
        <v>12</v>
      </c>
      <c r="O2" s="10" t="s">
        <v>49</v>
      </c>
      <c r="P2" s="10" t="s">
        <v>14</v>
      </c>
      <c r="Q2" s="10" t="s">
        <v>16</v>
      </c>
    </row>
    <row r="3" spans="1:17" x14ac:dyDescent="0.2">
      <c r="A3" s="11" t="s">
        <v>50</v>
      </c>
      <c r="B3" s="11" t="s">
        <v>51</v>
      </c>
      <c r="C3" s="11" t="s">
        <v>52</v>
      </c>
      <c r="D3" s="11" t="s">
        <v>53</v>
      </c>
      <c r="E3" s="11" t="s">
        <v>54</v>
      </c>
      <c r="F3" s="11">
        <v>10</v>
      </c>
      <c r="G3" s="11" t="s">
        <v>55</v>
      </c>
      <c r="H3" s="11">
        <v>12</v>
      </c>
      <c r="I3" s="11">
        <v>30</v>
      </c>
      <c r="J3" s="12" t="s">
        <v>55</v>
      </c>
      <c r="K3" s="12">
        <v>2</v>
      </c>
      <c r="L3" s="12">
        <v>4</v>
      </c>
      <c r="M3" s="12">
        <v>3</v>
      </c>
      <c r="N3" s="12"/>
      <c r="O3" s="13">
        <f t="shared" ref="O3:O27" si="0">IF(COUNT(L3,M3)&lt;2,"",L3*M3+IF(N3="",0,N3))</f>
        <v>12</v>
      </c>
      <c r="P3" s="12"/>
      <c r="Q3" s="12"/>
    </row>
    <row r="4" spans="1:17" x14ac:dyDescent="0.2">
      <c r="A4" s="11" t="s">
        <v>56</v>
      </c>
      <c r="B4" s="11" t="s">
        <v>57</v>
      </c>
      <c r="C4" s="11" t="s">
        <v>58</v>
      </c>
      <c r="D4" s="11" t="s">
        <v>59</v>
      </c>
      <c r="E4" s="11" t="s">
        <v>60</v>
      </c>
      <c r="F4" s="11">
        <v>51</v>
      </c>
      <c r="G4" s="11"/>
      <c r="H4" s="11"/>
      <c r="I4" s="11"/>
      <c r="J4" s="12" t="s">
        <v>127</v>
      </c>
      <c r="K4" s="12">
        <v>1</v>
      </c>
      <c r="L4" s="12">
        <v>44</v>
      </c>
      <c r="M4" s="12">
        <v>1</v>
      </c>
      <c r="N4" s="12"/>
      <c r="O4" s="13">
        <f t="shared" si="0"/>
        <v>44</v>
      </c>
      <c r="P4" s="12"/>
      <c r="Q4" s="12" t="s">
        <v>134</v>
      </c>
    </row>
    <row r="5" spans="1:17" x14ac:dyDescent="0.2">
      <c r="A5" s="11" t="s">
        <v>61</v>
      </c>
      <c r="B5" s="11" t="s">
        <v>62</v>
      </c>
      <c r="C5" s="11" t="s">
        <v>63</v>
      </c>
      <c r="D5" s="11" t="s">
        <v>64</v>
      </c>
      <c r="E5" s="11" t="s">
        <v>60</v>
      </c>
      <c r="F5" s="11">
        <v>235</v>
      </c>
      <c r="G5" s="11"/>
      <c r="H5" s="11"/>
      <c r="I5" s="11"/>
      <c r="J5" s="12" t="s">
        <v>55</v>
      </c>
      <c r="K5" s="12">
        <v>2</v>
      </c>
      <c r="L5" s="12">
        <v>2</v>
      </c>
      <c r="M5" s="12">
        <v>1</v>
      </c>
      <c r="N5" s="12"/>
      <c r="O5" s="13">
        <f t="shared" si="0"/>
        <v>2</v>
      </c>
      <c r="P5" s="12"/>
      <c r="Q5" s="12"/>
    </row>
    <row r="6" spans="1:17" x14ac:dyDescent="0.2">
      <c r="A6" s="11" t="s">
        <v>65</v>
      </c>
      <c r="B6" s="11" t="s">
        <v>66</v>
      </c>
      <c r="C6" s="11" t="s">
        <v>58</v>
      </c>
      <c r="D6" s="11" t="s">
        <v>67</v>
      </c>
      <c r="E6" s="11" t="s">
        <v>60</v>
      </c>
      <c r="F6" s="11">
        <v>557</v>
      </c>
      <c r="G6" s="11"/>
      <c r="H6" s="11"/>
      <c r="I6" s="11"/>
      <c r="J6" s="12" t="s">
        <v>131</v>
      </c>
      <c r="K6" s="12">
        <v>1</v>
      </c>
      <c r="L6" s="12"/>
      <c r="M6" s="12"/>
      <c r="N6" s="12"/>
      <c r="O6" s="13" t="str">
        <f t="shared" si="0"/>
        <v/>
      </c>
      <c r="P6" s="12" t="s">
        <v>135</v>
      </c>
      <c r="Q6" s="12"/>
    </row>
    <row r="7" spans="1:17" x14ac:dyDescent="0.2">
      <c r="A7" s="11" t="s">
        <v>68</v>
      </c>
      <c r="B7" s="11" t="s">
        <v>69</v>
      </c>
      <c r="C7" s="11" t="s">
        <v>63</v>
      </c>
      <c r="D7" s="11" t="s">
        <v>70</v>
      </c>
      <c r="E7" s="11" t="s">
        <v>60</v>
      </c>
      <c r="F7" s="11">
        <v>49</v>
      </c>
      <c r="G7" s="11"/>
      <c r="H7" s="11"/>
      <c r="I7" s="11"/>
      <c r="J7" s="12" t="s">
        <v>128</v>
      </c>
      <c r="K7" s="12">
        <v>1</v>
      </c>
      <c r="L7" s="12">
        <v>1</v>
      </c>
      <c r="M7" s="12">
        <v>1</v>
      </c>
      <c r="N7" s="12"/>
      <c r="O7" s="13">
        <f t="shared" si="0"/>
        <v>1</v>
      </c>
      <c r="P7" s="12"/>
      <c r="Q7" s="12" t="s">
        <v>136</v>
      </c>
    </row>
    <row r="8" spans="1:17" x14ac:dyDescent="0.2">
      <c r="A8" s="11" t="s">
        <v>71</v>
      </c>
      <c r="B8" s="11" t="s">
        <v>72</v>
      </c>
      <c r="C8" s="11" t="s">
        <v>63</v>
      </c>
      <c r="D8" s="11" t="s">
        <v>73</v>
      </c>
      <c r="E8" s="11" t="s">
        <v>74</v>
      </c>
      <c r="F8" s="11">
        <v>102</v>
      </c>
      <c r="G8" s="11"/>
      <c r="H8" s="11"/>
      <c r="I8" s="11"/>
      <c r="J8" s="12" t="s">
        <v>55</v>
      </c>
      <c r="K8" s="12">
        <v>2</v>
      </c>
      <c r="L8" s="12">
        <v>4</v>
      </c>
      <c r="M8" s="12">
        <v>1</v>
      </c>
      <c r="N8" s="12"/>
      <c r="O8" s="13">
        <f t="shared" si="0"/>
        <v>4</v>
      </c>
      <c r="P8" s="12"/>
      <c r="Q8" s="12"/>
    </row>
    <row r="9" spans="1:17" x14ac:dyDescent="0.2">
      <c r="A9" s="11" t="s">
        <v>75</v>
      </c>
      <c r="B9" s="11" t="s">
        <v>76</v>
      </c>
      <c r="C9" s="11" t="s">
        <v>52</v>
      </c>
      <c r="D9" s="11" t="s">
        <v>53</v>
      </c>
      <c r="E9" s="11" t="s">
        <v>54</v>
      </c>
      <c r="F9" s="11">
        <v>207</v>
      </c>
      <c r="G9" s="11" t="s">
        <v>55</v>
      </c>
      <c r="H9" s="11">
        <v>6</v>
      </c>
      <c r="I9" s="11">
        <v>18</v>
      </c>
      <c r="J9" s="12" t="s">
        <v>55</v>
      </c>
      <c r="K9" s="12">
        <v>2</v>
      </c>
      <c r="L9" s="12">
        <v>4</v>
      </c>
      <c r="M9" s="12">
        <v>3</v>
      </c>
      <c r="N9" s="12"/>
      <c r="O9" s="13">
        <f t="shared" si="0"/>
        <v>12</v>
      </c>
      <c r="P9" s="12"/>
      <c r="Q9" s="12"/>
    </row>
    <row r="10" spans="1:17" x14ac:dyDescent="0.2">
      <c r="A10" s="11" t="s">
        <v>77</v>
      </c>
      <c r="B10" s="11" t="s">
        <v>78</v>
      </c>
      <c r="C10" s="11" t="s">
        <v>52</v>
      </c>
      <c r="D10" s="11" t="s">
        <v>59</v>
      </c>
      <c r="E10" s="11" t="s">
        <v>54</v>
      </c>
      <c r="F10" s="11">
        <v>254</v>
      </c>
      <c r="G10" s="11" t="s">
        <v>55</v>
      </c>
      <c r="H10" s="11">
        <v>3</v>
      </c>
      <c r="I10" s="11">
        <v>0</v>
      </c>
      <c r="J10" s="12" t="s">
        <v>55</v>
      </c>
      <c r="K10" s="12">
        <v>1</v>
      </c>
      <c r="L10" s="12">
        <v>0</v>
      </c>
      <c r="M10" s="12">
        <v>0</v>
      </c>
      <c r="N10" s="12"/>
      <c r="O10" s="13">
        <f t="shared" si="0"/>
        <v>0</v>
      </c>
      <c r="P10" s="12"/>
      <c r="Q10" s="12"/>
    </row>
    <row r="11" spans="1:17" x14ac:dyDescent="0.2">
      <c r="A11" s="11" t="s">
        <v>79</v>
      </c>
      <c r="B11" s="11" t="s">
        <v>80</v>
      </c>
      <c r="C11" s="11" t="s">
        <v>52</v>
      </c>
      <c r="D11" s="11" t="s">
        <v>64</v>
      </c>
      <c r="E11" s="11" t="s">
        <v>74</v>
      </c>
      <c r="F11" s="11">
        <v>1101</v>
      </c>
      <c r="G11" s="11"/>
      <c r="H11" s="11"/>
      <c r="I11" s="11"/>
      <c r="J11" s="12" t="s">
        <v>130</v>
      </c>
      <c r="K11" s="12">
        <v>1</v>
      </c>
      <c r="L11" s="12">
        <v>0</v>
      </c>
      <c r="M11" s="12">
        <v>0</v>
      </c>
      <c r="N11" s="12"/>
      <c r="O11" s="13">
        <f t="shared" si="0"/>
        <v>0</v>
      </c>
      <c r="P11" s="12"/>
      <c r="Q11" s="12"/>
    </row>
    <row r="12" spans="1:17" x14ac:dyDescent="0.2">
      <c r="A12" s="11" t="s">
        <v>81</v>
      </c>
      <c r="B12" s="11" t="s">
        <v>82</v>
      </c>
      <c r="C12" s="11" t="s">
        <v>52</v>
      </c>
      <c r="D12" s="11" t="s">
        <v>67</v>
      </c>
      <c r="E12" s="11" t="s">
        <v>54</v>
      </c>
      <c r="F12" s="11">
        <v>7</v>
      </c>
      <c r="G12" s="11" t="s">
        <v>83</v>
      </c>
      <c r="H12" s="11">
        <v>0</v>
      </c>
      <c r="I12" s="11">
        <v>1</v>
      </c>
      <c r="J12" s="12" t="s">
        <v>83</v>
      </c>
      <c r="K12" s="12">
        <v>1</v>
      </c>
      <c r="L12" s="12">
        <v>0</v>
      </c>
      <c r="M12" s="12">
        <v>0</v>
      </c>
      <c r="N12" s="12"/>
      <c r="O12" s="13">
        <f t="shared" si="0"/>
        <v>0</v>
      </c>
      <c r="P12" s="12"/>
      <c r="Q12" s="12"/>
    </row>
    <row r="13" spans="1:17" x14ac:dyDescent="0.2">
      <c r="A13" s="11" t="s">
        <v>84</v>
      </c>
      <c r="B13" s="11" t="s">
        <v>85</v>
      </c>
      <c r="C13" s="11" t="s">
        <v>63</v>
      </c>
      <c r="D13" s="11" t="s">
        <v>70</v>
      </c>
      <c r="E13" s="11" t="s">
        <v>74</v>
      </c>
      <c r="F13" s="11">
        <v>25</v>
      </c>
      <c r="G13" s="11"/>
      <c r="H13" s="11"/>
      <c r="I13" s="11"/>
      <c r="J13" s="12" t="s">
        <v>96</v>
      </c>
      <c r="K13" s="12">
        <v>1</v>
      </c>
      <c r="L13" s="12">
        <v>0</v>
      </c>
      <c r="M13" s="12">
        <v>0</v>
      </c>
      <c r="N13" s="12"/>
      <c r="O13" s="13">
        <f t="shared" si="0"/>
        <v>0</v>
      </c>
      <c r="P13" s="12"/>
      <c r="Q13" s="12"/>
    </row>
    <row r="14" spans="1:17" x14ac:dyDescent="0.2">
      <c r="A14" s="11" t="s">
        <v>86</v>
      </c>
      <c r="B14" s="11" t="s">
        <v>87</v>
      </c>
      <c r="C14" s="11" t="s">
        <v>88</v>
      </c>
      <c r="D14" s="11" t="s">
        <v>53</v>
      </c>
      <c r="E14" s="11" t="s">
        <v>60</v>
      </c>
      <c r="F14" s="11">
        <v>45</v>
      </c>
      <c r="G14" s="11"/>
      <c r="H14" s="11"/>
      <c r="I14" s="11"/>
      <c r="J14" s="12" t="s">
        <v>128</v>
      </c>
      <c r="K14" s="12">
        <v>1</v>
      </c>
      <c r="L14" s="12">
        <v>1</v>
      </c>
      <c r="M14" s="12">
        <v>1</v>
      </c>
      <c r="N14" s="12"/>
      <c r="O14" s="13">
        <f t="shared" si="0"/>
        <v>1</v>
      </c>
      <c r="P14" s="12"/>
      <c r="Q14" s="12" t="s">
        <v>137</v>
      </c>
    </row>
    <row r="15" spans="1:17" x14ac:dyDescent="0.2">
      <c r="A15" s="11" t="s">
        <v>89</v>
      </c>
      <c r="B15" s="11" t="s">
        <v>90</v>
      </c>
      <c r="C15" s="11" t="s">
        <v>88</v>
      </c>
      <c r="D15" s="11" t="s">
        <v>59</v>
      </c>
      <c r="E15" s="11" t="s">
        <v>74</v>
      </c>
      <c r="F15" s="11">
        <v>9</v>
      </c>
      <c r="G15" s="11"/>
      <c r="H15" s="11"/>
      <c r="I15" s="11"/>
      <c r="J15" s="12" t="s">
        <v>96</v>
      </c>
      <c r="K15" s="12">
        <v>2</v>
      </c>
      <c r="L15" s="12">
        <v>0</v>
      </c>
      <c r="M15" s="12">
        <v>0</v>
      </c>
      <c r="N15" s="12"/>
      <c r="O15" s="13">
        <f t="shared" si="0"/>
        <v>0</v>
      </c>
      <c r="P15" s="12"/>
      <c r="Q15" s="12"/>
    </row>
    <row r="16" spans="1:17" x14ac:dyDescent="0.2">
      <c r="A16" s="11" t="s">
        <v>91</v>
      </c>
      <c r="B16" s="11" t="s">
        <v>92</v>
      </c>
      <c r="C16" s="11" t="s">
        <v>93</v>
      </c>
      <c r="D16" s="11" t="s">
        <v>64</v>
      </c>
      <c r="E16" s="11" t="s">
        <v>60</v>
      </c>
      <c r="F16" s="11">
        <v>13</v>
      </c>
      <c r="G16" s="11"/>
      <c r="H16" s="11"/>
      <c r="I16" s="11"/>
      <c r="J16" s="12" t="s">
        <v>55</v>
      </c>
      <c r="K16" s="12">
        <v>2</v>
      </c>
      <c r="L16" s="12">
        <v>5</v>
      </c>
      <c r="M16" s="12">
        <v>1</v>
      </c>
      <c r="N16" s="12"/>
      <c r="O16" s="13">
        <f t="shared" si="0"/>
        <v>5</v>
      </c>
      <c r="P16" s="12"/>
      <c r="Q16" s="12" t="s">
        <v>138</v>
      </c>
    </row>
    <row r="17" spans="1:17" x14ac:dyDescent="0.2">
      <c r="A17" s="11" t="s">
        <v>94</v>
      </c>
      <c r="B17" s="11" t="s">
        <v>95</v>
      </c>
      <c r="C17" s="11" t="s">
        <v>52</v>
      </c>
      <c r="D17" s="11" t="s">
        <v>67</v>
      </c>
      <c r="E17" s="11" t="s">
        <v>54</v>
      </c>
      <c r="F17" s="11">
        <v>192</v>
      </c>
      <c r="G17" s="11" t="s">
        <v>96</v>
      </c>
      <c r="H17" s="11">
        <v>1</v>
      </c>
      <c r="I17" s="11">
        <v>3</v>
      </c>
      <c r="J17" s="12" t="s">
        <v>96</v>
      </c>
      <c r="K17" s="12">
        <v>2</v>
      </c>
      <c r="L17" s="12">
        <v>0</v>
      </c>
      <c r="M17" s="12">
        <v>0</v>
      </c>
      <c r="N17" s="12"/>
      <c r="O17" s="13">
        <f t="shared" si="0"/>
        <v>0</v>
      </c>
      <c r="P17" s="12"/>
      <c r="Q17" s="12" t="s">
        <v>139</v>
      </c>
    </row>
    <row r="18" spans="1:17" x14ac:dyDescent="0.2">
      <c r="A18" s="11" t="s">
        <v>97</v>
      </c>
      <c r="B18" s="11" t="s">
        <v>98</v>
      </c>
      <c r="C18" s="11" t="s">
        <v>99</v>
      </c>
      <c r="D18" s="11" t="s">
        <v>53</v>
      </c>
      <c r="E18" s="11" t="s">
        <v>74</v>
      </c>
      <c r="F18" s="11">
        <v>47</v>
      </c>
      <c r="G18" s="11"/>
      <c r="H18" s="11"/>
      <c r="I18" s="11"/>
      <c r="J18" s="12" t="s">
        <v>96</v>
      </c>
      <c r="K18" s="12">
        <v>1</v>
      </c>
      <c r="L18" s="12">
        <v>0</v>
      </c>
      <c r="M18" s="12">
        <v>0</v>
      </c>
      <c r="N18" s="12"/>
      <c r="O18" s="13">
        <f t="shared" si="0"/>
        <v>0</v>
      </c>
      <c r="P18" s="12"/>
      <c r="Q18" s="12" t="s">
        <v>140</v>
      </c>
    </row>
    <row r="19" spans="1:17" x14ac:dyDescent="0.2">
      <c r="A19" s="11" t="s">
        <v>100</v>
      </c>
      <c r="B19" s="11" t="s">
        <v>101</v>
      </c>
      <c r="C19" s="11" t="s">
        <v>58</v>
      </c>
      <c r="D19" s="11" t="s">
        <v>59</v>
      </c>
      <c r="E19" s="11" t="s">
        <v>74</v>
      </c>
      <c r="F19" s="11">
        <v>39</v>
      </c>
      <c r="G19" s="11"/>
      <c r="H19" s="11"/>
      <c r="I19" s="11"/>
      <c r="J19" s="12" t="s">
        <v>96</v>
      </c>
      <c r="K19" s="12">
        <v>1</v>
      </c>
      <c r="L19" s="12">
        <v>0</v>
      </c>
      <c r="M19" s="12">
        <v>0</v>
      </c>
      <c r="N19" s="12"/>
      <c r="O19" s="13">
        <f t="shared" si="0"/>
        <v>0</v>
      </c>
      <c r="P19" s="12"/>
      <c r="Q19" s="12" t="s">
        <v>141</v>
      </c>
    </row>
    <row r="20" spans="1:17" x14ac:dyDescent="0.2">
      <c r="A20" s="11" t="s">
        <v>102</v>
      </c>
      <c r="B20" s="11" t="s">
        <v>103</v>
      </c>
      <c r="C20" s="11" t="s">
        <v>52</v>
      </c>
      <c r="D20" s="11" t="s">
        <v>64</v>
      </c>
      <c r="E20" s="11" t="s">
        <v>74</v>
      </c>
      <c r="F20" s="11">
        <v>1102</v>
      </c>
      <c r="G20" s="11"/>
      <c r="H20" s="11"/>
      <c r="I20" s="11"/>
      <c r="J20" s="12" t="s">
        <v>55</v>
      </c>
      <c r="K20" s="12">
        <v>1</v>
      </c>
      <c r="L20" s="12">
        <v>3</v>
      </c>
      <c r="M20" s="12">
        <v>1</v>
      </c>
      <c r="N20" s="12"/>
      <c r="O20" s="13">
        <f t="shared" si="0"/>
        <v>3</v>
      </c>
      <c r="P20" s="12"/>
      <c r="Q20" s="12" t="s">
        <v>142</v>
      </c>
    </row>
    <row r="21" spans="1:17" x14ac:dyDescent="0.2">
      <c r="A21" s="11" t="s">
        <v>104</v>
      </c>
      <c r="B21" s="11" t="s">
        <v>105</v>
      </c>
      <c r="C21" s="11" t="s">
        <v>106</v>
      </c>
      <c r="D21" s="11" t="s">
        <v>53</v>
      </c>
      <c r="E21" s="11" t="s">
        <v>54</v>
      </c>
      <c r="F21" s="11">
        <v>289</v>
      </c>
      <c r="G21" s="11"/>
      <c r="H21" s="11"/>
      <c r="I21" s="11"/>
      <c r="J21" s="12" t="s">
        <v>128</v>
      </c>
      <c r="K21" s="12">
        <v>1</v>
      </c>
      <c r="L21" s="12">
        <v>1</v>
      </c>
      <c r="M21" s="12">
        <v>2</v>
      </c>
      <c r="N21" s="12"/>
      <c r="O21" s="13">
        <f t="shared" si="0"/>
        <v>2</v>
      </c>
      <c r="P21" s="12"/>
      <c r="Q21" s="12"/>
    </row>
    <row r="22" spans="1:17" x14ac:dyDescent="0.2">
      <c r="A22" s="11" t="s">
        <v>107</v>
      </c>
      <c r="B22" s="11" t="s">
        <v>108</v>
      </c>
      <c r="C22" s="11" t="s">
        <v>52</v>
      </c>
      <c r="D22" s="11" t="s">
        <v>59</v>
      </c>
      <c r="E22" s="11" t="s">
        <v>74</v>
      </c>
      <c r="F22" s="11">
        <v>95</v>
      </c>
      <c r="G22" s="11"/>
      <c r="H22" s="11"/>
      <c r="I22" s="11"/>
      <c r="J22" s="12" t="s">
        <v>96</v>
      </c>
      <c r="K22" s="12">
        <v>2</v>
      </c>
      <c r="L22" s="12">
        <v>0</v>
      </c>
      <c r="M22" s="12">
        <v>0</v>
      </c>
      <c r="N22" s="12"/>
      <c r="O22" s="13">
        <f t="shared" si="0"/>
        <v>0</v>
      </c>
      <c r="P22" s="12"/>
      <c r="Q22" s="12" t="s">
        <v>143</v>
      </c>
    </row>
    <row r="23" spans="1:17" x14ac:dyDescent="0.2">
      <c r="A23" s="11" t="s">
        <v>109</v>
      </c>
      <c r="B23" s="11" t="s">
        <v>110</v>
      </c>
      <c r="C23" s="11" t="s">
        <v>63</v>
      </c>
      <c r="D23" s="11" t="s">
        <v>64</v>
      </c>
      <c r="E23" s="11" t="s">
        <v>60</v>
      </c>
      <c r="F23" s="11">
        <v>132</v>
      </c>
      <c r="G23" s="11"/>
      <c r="H23" s="11"/>
      <c r="I23" s="11"/>
      <c r="J23" s="12" t="s">
        <v>55</v>
      </c>
      <c r="K23" s="12">
        <v>2</v>
      </c>
      <c r="L23" s="12">
        <v>0</v>
      </c>
      <c r="M23" s="12">
        <v>0</v>
      </c>
      <c r="N23" s="12"/>
      <c r="O23" s="13">
        <f t="shared" si="0"/>
        <v>0</v>
      </c>
      <c r="P23" s="12"/>
      <c r="Q23" s="12" t="s">
        <v>144</v>
      </c>
    </row>
    <row r="24" spans="1:17" x14ac:dyDescent="0.2">
      <c r="A24" s="11" t="s">
        <v>111</v>
      </c>
      <c r="B24" s="11" t="s">
        <v>112</v>
      </c>
      <c r="C24" s="11" t="s">
        <v>93</v>
      </c>
      <c r="D24" s="11" t="s">
        <v>53</v>
      </c>
      <c r="E24" s="11" t="s">
        <v>54</v>
      </c>
      <c r="F24" s="11">
        <v>143</v>
      </c>
      <c r="G24" s="11"/>
      <c r="H24" s="11"/>
      <c r="I24" s="11"/>
      <c r="J24" s="12" t="s">
        <v>55</v>
      </c>
      <c r="K24" s="12">
        <v>2</v>
      </c>
      <c r="L24" s="12">
        <v>3</v>
      </c>
      <c r="M24" s="12">
        <v>1</v>
      </c>
      <c r="N24" s="12"/>
      <c r="O24" s="13">
        <f t="shared" si="0"/>
        <v>3</v>
      </c>
      <c r="P24" s="12"/>
      <c r="Q24" s="12" t="s">
        <v>145</v>
      </c>
    </row>
    <row r="25" spans="1:17" x14ac:dyDescent="0.2">
      <c r="A25" s="11" t="s">
        <v>113</v>
      </c>
      <c r="B25" s="11" t="s">
        <v>114</v>
      </c>
      <c r="C25" s="11" t="s">
        <v>58</v>
      </c>
      <c r="D25" s="11" t="s">
        <v>59</v>
      </c>
      <c r="E25" s="11" t="s">
        <v>60</v>
      </c>
      <c r="F25" s="11">
        <v>294</v>
      </c>
      <c r="G25" s="11"/>
      <c r="H25" s="11"/>
      <c r="I25" s="11"/>
      <c r="J25" s="12" t="s">
        <v>128</v>
      </c>
      <c r="K25" s="12">
        <v>2</v>
      </c>
      <c r="L25" s="12">
        <v>0</v>
      </c>
      <c r="M25" s="12">
        <v>0</v>
      </c>
      <c r="N25" s="12"/>
      <c r="O25" s="13">
        <f t="shared" si="0"/>
        <v>0</v>
      </c>
      <c r="P25" s="12"/>
      <c r="Q25" s="12" t="s">
        <v>146</v>
      </c>
    </row>
    <row r="26" spans="1:17" x14ac:dyDescent="0.2">
      <c r="A26" s="11" t="s">
        <v>115</v>
      </c>
      <c r="B26" s="11" t="s">
        <v>116</v>
      </c>
      <c r="C26" s="11" t="s">
        <v>52</v>
      </c>
      <c r="D26" s="11" t="s">
        <v>64</v>
      </c>
      <c r="E26" s="11" t="s">
        <v>60</v>
      </c>
      <c r="F26" s="11">
        <v>458</v>
      </c>
      <c r="G26" s="11"/>
      <c r="H26" s="11"/>
      <c r="I26" s="11"/>
      <c r="J26" s="12" t="s">
        <v>131</v>
      </c>
      <c r="K26" s="12">
        <v>2</v>
      </c>
      <c r="L26" s="12">
        <v>0</v>
      </c>
      <c r="M26" s="12">
        <v>0</v>
      </c>
      <c r="N26" s="12"/>
      <c r="O26" s="13">
        <f t="shared" si="0"/>
        <v>0</v>
      </c>
      <c r="P26" s="12"/>
      <c r="Q26" s="12" t="s">
        <v>147</v>
      </c>
    </row>
    <row r="27" spans="1:17" x14ac:dyDescent="0.2">
      <c r="A27" s="11" t="s">
        <v>117</v>
      </c>
      <c r="B27" s="11" t="s">
        <v>118</v>
      </c>
      <c r="C27" s="11" t="s">
        <v>88</v>
      </c>
      <c r="D27" s="11" t="s">
        <v>53</v>
      </c>
      <c r="E27" s="11" t="s">
        <v>54</v>
      </c>
      <c r="F27" s="11">
        <v>305</v>
      </c>
      <c r="G27" s="11"/>
      <c r="H27" s="11"/>
      <c r="I27" s="11"/>
      <c r="J27" s="12" t="s">
        <v>55</v>
      </c>
      <c r="K27" s="12">
        <v>2</v>
      </c>
      <c r="L27" s="12">
        <v>1</v>
      </c>
      <c r="M27" s="12">
        <v>1</v>
      </c>
      <c r="N27" s="12"/>
      <c r="O27" s="13">
        <f t="shared" si="0"/>
        <v>1</v>
      </c>
      <c r="P27" s="12"/>
      <c r="Q27" s="12" t="s">
        <v>148</v>
      </c>
    </row>
    <row r="29" spans="1:17" x14ac:dyDescent="0.2">
      <c r="A29" s="3" t="s">
        <v>119</v>
      </c>
      <c r="B29" s="3"/>
      <c r="C29" s="3"/>
      <c r="D29" s="3"/>
      <c r="E29" s="3"/>
      <c r="F29" s="3"/>
      <c r="G29" s="3"/>
      <c r="H29" s="3"/>
      <c r="I29" s="3"/>
    </row>
    <row r="30" spans="1:17" x14ac:dyDescent="0.2">
      <c r="A30" s="14" t="s">
        <v>50</v>
      </c>
      <c r="B30" s="14" t="s">
        <v>51</v>
      </c>
      <c r="C30" s="14" t="s">
        <v>52</v>
      </c>
      <c r="D30" s="14" t="s">
        <v>53</v>
      </c>
      <c r="E30" s="14" t="s">
        <v>54</v>
      </c>
      <c r="F30" s="14">
        <v>10</v>
      </c>
      <c r="G30" s="14" t="s">
        <v>55</v>
      </c>
      <c r="H30" s="14">
        <v>12</v>
      </c>
      <c r="I30" s="14">
        <v>30</v>
      </c>
      <c r="J30" s="14" t="s">
        <v>55</v>
      </c>
      <c r="K30" s="14">
        <v>2</v>
      </c>
      <c r="L30" s="14">
        <v>4</v>
      </c>
      <c r="M30" s="14">
        <v>3</v>
      </c>
      <c r="N30" s="14">
        <v>0</v>
      </c>
      <c r="O30" s="14">
        <v>12</v>
      </c>
      <c r="P30" s="14"/>
      <c r="Q30" s="14" t="s">
        <v>120</v>
      </c>
    </row>
  </sheetData>
  <mergeCells count="1">
    <mergeCell ref="A29:I29"/>
  </mergeCells>
  <dataValidations count="2">
    <dataValidation type="list" allowBlank="1" sqref="J3:J27" xr:uid="{00000000-0002-0000-0100-000000000000}">
      <formula1>"register_table,name_list,form,prose,index,cover_or_title,blank_or_illegible,other"</formula1>
      <formula2>0</formula2>
    </dataValidation>
    <dataValidation type="list" allowBlank="1" sqref="K3:K27" xr:uid="{00000000-0002-0000-0100-000001000000}">
      <formula1>"1,2"</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showGridLines="0" zoomScaleNormal="100" workbookViewId="0"/>
  </sheetViews>
  <sheetFormatPr baseColWidth="10" defaultColWidth="8.6640625" defaultRowHeight="15" x14ac:dyDescent="0.2"/>
  <cols>
    <col min="1" max="5" width="20" customWidth="1"/>
  </cols>
  <sheetData>
    <row r="1" spans="1:7" ht="18" x14ac:dyDescent="0.2">
      <c r="A1" s="5" t="s">
        <v>121</v>
      </c>
    </row>
    <row r="2" spans="1:7" ht="30" customHeight="1" x14ac:dyDescent="0.2">
      <c r="A2" s="2" t="s">
        <v>122</v>
      </c>
      <c r="B2" s="2"/>
      <c r="C2" s="2"/>
      <c r="D2" s="2"/>
      <c r="E2" s="2"/>
      <c r="F2" s="2"/>
      <c r="G2" s="2"/>
    </row>
    <row r="4" spans="1:7" x14ac:dyDescent="0.2">
      <c r="A4" s="16" t="s">
        <v>4</v>
      </c>
      <c r="B4" s="16" t="s">
        <v>123</v>
      </c>
      <c r="C4" s="16" t="s">
        <v>124</v>
      </c>
      <c r="D4" s="16" t="s">
        <v>125</v>
      </c>
      <c r="E4" s="16" t="s">
        <v>126</v>
      </c>
    </row>
    <row r="5" spans="1:7" x14ac:dyDescent="0.2">
      <c r="A5" s="15" t="s">
        <v>55</v>
      </c>
      <c r="B5" s="15">
        <f>COUNTIFS(Calibration!$J$3:$J$27,$A5)</f>
        <v>10</v>
      </c>
      <c r="C5" s="15">
        <f>SUMIFS(Calibration!$O$3:$O$27,Calibration!$J$3:$J$27,$A5)</f>
        <v>42</v>
      </c>
      <c r="D5" s="15">
        <f>SUMIFS(Calibration!$I$3:$I$27,Calibration!$J$3:$J$27,$A5)</f>
        <v>48</v>
      </c>
      <c r="E5" s="17">
        <f t="shared" ref="E5:E13" si="0">IFERROR(D5/C5,"")</f>
        <v>1.1428571428571428</v>
      </c>
    </row>
    <row r="6" spans="1:7" x14ac:dyDescent="0.2">
      <c r="A6" s="15" t="s">
        <v>127</v>
      </c>
      <c r="B6" s="15">
        <f>COUNTIFS(Calibration!$J$3:$J$27,$A6)</f>
        <v>1</v>
      </c>
      <c r="C6" s="15">
        <f>SUMIFS(Calibration!$O$3:$O$27,Calibration!$J$3:$J$27,$A6)</f>
        <v>44</v>
      </c>
      <c r="D6" s="15">
        <f>SUMIFS(Calibration!$I$3:$I$27,Calibration!$J$3:$J$27,$A6)</f>
        <v>0</v>
      </c>
      <c r="E6" s="17">
        <f t="shared" si="0"/>
        <v>0</v>
      </c>
    </row>
    <row r="7" spans="1:7" x14ac:dyDescent="0.2">
      <c r="A7" s="15" t="s">
        <v>128</v>
      </c>
      <c r="B7" s="15">
        <f>COUNTIFS(Calibration!$J$3:$J$27,$A7)</f>
        <v>4</v>
      </c>
      <c r="C7" s="15">
        <f>SUMIFS(Calibration!$O$3:$O$27,Calibration!$J$3:$J$27,$A7)</f>
        <v>4</v>
      </c>
      <c r="D7" s="15">
        <f>SUMIFS(Calibration!$I$3:$I$27,Calibration!$J$3:$J$27,$A7)</f>
        <v>0</v>
      </c>
      <c r="E7" s="17">
        <f t="shared" si="0"/>
        <v>0</v>
      </c>
    </row>
    <row r="8" spans="1:7" x14ac:dyDescent="0.2">
      <c r="A8" s="15" t="s">
        <v>96</v>
      </c>
      <c r="B8" s="15">
        <f>COUNTIFS(Calibration!$J$3:$J$27,$A8)</f>
        <v>6</v>
      </c>
      <c r="C8" s="15">
        <f>SUMIFS(Calibration!$O$3:$O$27,Calibration!$J$3:$J$27,$A8)</f>
        <v>0</v>
      </c>
      <c r="D8" s="15">
        <f>SUMIFS(Calibration!$I$3:$I$27,Calibration!$J$3:$J$27,$A8)</f>
        <v>3</v>
      </c>
      <c r="E8" s="17" t="str">
        <f t="shared" si="0"/>
        <v/>
      </c>
    </row>
    <row r="9" spans="1:7" x14ac:dyDescent="0.2">
      <c r="A9" s="15" t="s">
        <v>129</v>
      </c>
      <c r="B9" s="15">
        <f>COUNTIFS(Calibration!$J$3:$J$27,$A9)</f>
        <v>0</v>
      </c>
      <c r="C9" s="15">
        <f>SUMIFS(Calibration!$O$3:$O$27,Calibration!$J$3:$J$27,$A9)</f>
        <v>0</v>
      </c>
      <c r="D9" s="15">
        <f>SUMIFS(Calibration!$I$3:$I$27,Calibration!$J$3:$J$27,$A9)</f>
        <v>0</v>
      </c>
      <c r="E9" s="17" t="str">
        <f t="shared" si="0"/>
        <v/>
      </c>
    </row>
    <row r="10" spans="1:7" x14ac:dyDescent="0.2">
      <c r="A10" s="15" t="s">
        <v>83</v>
      </c>
      <c r="B10" s="15">
        <f>COUNTIFS(Calibration!$J$3:$J$27,$A10)</f>
        <v>1</v>
      </c>
      <c r="C10" s="15">
        <f>SUMIFS(Calibration!$O$3:$O$27,Calibration!$J$3:$J$27,$A10)</f>
        <v>0</v>
      </c>
      <c r="D10" s="15">
        <f>SUMIFS(Calibration!$I$3:$I$27,Calibration!$J$3:$J$27,$A10)</f>
        <v>1</v>
      </c>
      <c r="E10" s="17" t="str">
        <f t="shared" si="0"/>
        <v/>
      </c>
    </row>
    <row r="11" spans="1:7" x14ac:dyDescent="0.2">
      <c r="A11" s="15" t="s">
        <v>130</v>
      </c>
      <c r="B11" s="15">
        <f>COUNTIFS(Calibration!$J$3:$J$27,$A11)</f>
        <v>1</v>
      </c>
      <c r="C11" s="15">
        <f>SUMIFS(Calibration!$O$3:$O$27,Calibration!$J$3:$J$27,$A11)</f>
        <v>0</v>
      </c>
      <c r="D11" s="15">
        <f>SUMIFS(Calibration!$I$3:$I$27,Calibration!$J$3:$J$27,$A11)</f>
        <v>0</v>
      </c>
      <c r="E11" s="17" t="str">
        <f t="shared" si="0"/>
        <v/>
      </c>
    </row>
    <row r="12" spans="1:7" x14ac:dyDescent="0.2">
      <c r="A12" s="15" t="s">
        <v>131</v>
      </c>
      <c r="B12" s="15">
        <f>COUNTIFS(Calibration!$J$3:$J$27,$A12)</f>
        <v>2</v>
      </c>
      <c r="C12" s="15">
        <f>SUMIFS(Calibration!$O$3:$O$27,Calibration!$J$3:$J$27,$A12)</f>
        <v>0</v>
      </c>
      <c r="D12" s="15">
        <f>SUMIFS(Calibration!$I$3:$I$27,Calibration!$J$3:$J$27,$A12)</f>
        <v>0</v>
      </c>
      <c r="E12" s="17" t="str">
        <f t="shared" si="0"/>
        <v/>
      </c>
    </row>
    <row r="13" spans="1:7" x14ac:dyDescent="0.2">
      <c r="A13" s="7" t="s">
        <v>132</v>
      </c>
      <c r="B13" s="7">
        <f>COUNT(Calibration!$L$3:$L$27)</f>
        <v>24</v>
      </c>
      <c r="C13" s="7">
        <f>SUM(Calibration!$O$3:$O$27)</f>
        <v>90</v>
      </c>
      <c r="D13" s="7">
        <f>SUM(Calibration!$I$3:$I$27)</f>
        <v>52</v>
      </c>
      <c r="E13" s="17">
        <f t="shared" si="0"/>
        <v>0.57777777777777772</v>
      </c>
    </row>
    <row r="15" spans="1:7" x14ac:dyDescent="0.2">
      <c r="A15" s="1" t="s">
        <v>133</v>
      </c>
      <c r="B15" s="1"/>
      <c r="C15" s="1"/>
      <c r="D15" s="1"/>
      <c r="E15" s="1"/>
      <c r="F15" s="1"/>
      <c r="G15" s="1"/>
    </row>
  </sheetData>
  <mergeCells count="2">
    <mergeCell ref="A2:G2"/>
    <mergeCell ref="A15:G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Calibration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Jon Brandt</cp:lastModifiedBy>
  <cp:revision>0</cp:revision>
  <dcterms:created xsi:type="dcterms:W3CDTF">2026-07-19T22:46:55Z</dcterms:created>
  <dcterms:modified xsi:type="dcterms:W3CDTF">2026-07-20T20:10:16Z</dcterms:modified>
  <dc:language>en-US</dc:language>
</cp:coreProperties>
</file>